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매매입력" sheetId="1" state="visible" r:id="rId1"/>
    <sheet name="2.보유현황" sheetId="2" state="visible" r:id="rId2"/>
    <sheet name="3.실현손익" sheetId="3" state="visible" r:id="rId3"/>
    <sheet name="4.배당내역" sheetId="4" state="visible" r:id="rId4"/>
    <sheet name="5.매매일지" sheetId="5" state="visible" r:id="rId5"/>
    <sheet name="6.대시보드" sheetId="6" state="visible" r:id="rId6"/>
    <sheet name="7.월별수익률" sheetId="7" state="visible" r:id="rId7"/>
    <sheet name="8.설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976D2"/>
      <sz val="20"/>
    </font>
    <font>
      <name val="맑은 고딕"/>
      <i val="1"/>
      <color rgb="00616161"/>
      <sz val="9"/>
    </font>
    <font>
      <name val="맑은 고딕"/>
      <b val="1"/>
      <sz val="10"/>
    </font>
    <font>
      <name val="맑은 고딕"/>
      <b val="1"/>
      <sz val="14"/>
    </font>
    <font>
      <name val="맑은 고딕"/>
      <b val="1"/>
      <sz val="16"/>
    </font>
  </fonts>
  <fills count="10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F44336"/>
        <bgColor rgb="00F44336"/>
      </patternFill>
    </fill>
    <fill>
      <patternFill patternType="solid">
        <fgColor rgb="0000BCD4"/>
        <bgColor rgb="0000BCD4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medium">
        <color rgb="001976D2"/>
      </top>
      <bottom style="medium">
        <color rgb="001976D2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4" fontId="2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right" vertical="center"/>
    </xf>
    <xf numFmtId="4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0" fontId="5" fillId="3" borderId="2" pivotButton="0" quotePrefix="0" xfId="0"/>
    <xf numFmtId="0" fontId="5" fillId="3" borderId="2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0" fontId="2" fillId="0" borderId="2" pivotButton="0" quotePrefix="0" xfId="0"/>
    <xf numFmtId="3" fontId="2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right" vertical="center"/>
    </xf>
    <xf numFmtId="0" fontId="5" fillId="3" borderId="0" pivotButton="0" quotePrefix="0" xfId="0"/>
    <xf numFmtId="164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/>
    </xf>
    <xf numFmtId="4" fontId="2" fillId="0" borderId="2" applyAlignment="1" pivotButton="0" quotePrefix="0" xfId="0">
      <alignment horizontal="right" vertical="top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3" fontId="7" fillId="4" borderId="0" applyAlignment="1" pivotButton="0" quotePrefix="0" xfId="0">
      <alignment horizontal="center" vertical="center" wrapText="1"/>
    </xf>
    <xf numFmtId="10" fontId="7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1" fontId="7" fillId="4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10" fontId="2" fillId="0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E3F2FD"/>
          <bgColor rgb="00E3F2FD"/>
        </patternFill>
      </fill>
    </dxf>
    <dxf>
      <fill>
        <patternFill patternType="solid">
          <fgColor rgb="00FFEBEE"/>
          <bgColor rgb="00FFEBEE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FEBEE"/>
          <bgColor rgb="00FFEBEE"/>
        </patternFill>
      </fill>
    </dxf>
    <dxf>
      <font>
        <b val="1"/>
        <color rgb="002E7D32"/>
      </font>
    </dxf>
    <dxf>
      <font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종목별 평가금액 비중</a:t>
            </a:r>
          </a:p>
        </rich>
      </tx>
    </title>
    <plotArea>
      <doughnutChart>
        <varyColors val="1"/>
        <ser>
          <idx val="0"/>
          <order val="0"/>
          <tx>
            <strRef>
              <f>'6.대시보드'!B14</f>
            </strRef>
          </tx>
          <spPr>
            <a:ln>
              <a:prstDash val="solid"/>
            </a:ln>
          </spPr>
          <cat>
            <numRef>
              <f>'6.대시보드'!$A$15:$A$19</f>
            </numRef>
          </cat>
          <val>
            <numRef>
              <f>'6.대시보드'!$B$15:$B$19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자산구분별 비중</a:t>
            </a:r>
          </a:p>
        </rich>
      </tx>
    </title>
    <plotArea>
      <pieChart>
        <varyColors val="1"/>
        <ser>
          <idx val="0"/>
          <order val="0"/>
          <tx>
            <strRef>
              <f>'6.대시보드'!B22</f>
            </strRef>
          </tx>
          <spPr>
            <a:ln>
              <a:prstDash val="solid"/>
            </a:ln>
          </spPr>
          <cat>
            <numRef>
              <f>'6.대시보드'!$A$23:$A$27</f>
            </numRef>
          </cat>
          <val>
            <numRef>
              <f>'6.대시보드'!$B$23:$B$27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월별 수익률 (%)</a:t>
            </a:r>
          </a:p>
        </rich>
      </tx>
    </title>
    <plotArea>
      <lineChart>
        <grouping val="standard"/>
        <ser>
          <idx val="0"/>
          <order val="0"/>
          <tx>
            <strRef>
              <f>'7.월별수익률'!G3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'7.월별수익률'!$A$4:$A$15</f>
            </numRef>
          </cat>
          <val>
            <numRef>
              <f>'7.월별수익률'!$G$4:$G$15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수익률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시스템</author>
  </authors>
  <commentList>
    <comment ref="J1" authorId="0" shapeId="0">
      <text>
        <t>KRW는 1, USD는 실시간 환율 자동입력 권장
구글시트: =GOOGLEFINANCE("CURRENCY:USDKRW")</t>
      </text>
    </comment>
    <comment ref="M1" authorId="0" shapeId="0">
      <text>
        <t>자동계산: 매수=음수, 매도=양수
수수료/세금 차감 반영</t>
      </text>
    </comment>
  </commentList>
</comments>
</file>

<file path=xl/comments/comment2.xml><?xml version="1.0" encoding="utf-8"?>
<comments xmlns="http://schemas.openxmlformats.org/spreadsheetml/2006/main">
  <authors>
    <author>시스템</author>
  </authors>
  <commentList>
    <comment ref="I3" authorId="0" shapeId="0">
      <text>
        <t>한국 배당세 15.4%
미국 배당세 15%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  <col width="8" customWidth="1" min="6" max="6"/>
    <col width="10" customWidth="1" min="7" max="7"/>
    <col width="12" customWidth="1" min="8" max="8"/>
    <col width="8" customWidth="1" min="9" max="9"/>
    <col width="10" customWidth="1" min="10" max="10"/>
    <col width="11" customWidth="1" min="11" max="11"/>
    <col width="10" customWidth="1" min="12" max="12"/>
    <col width="16" customWidth="1" min="13" max="13"/>
    <col width="30" customWidth="1" min="14" max="14"/>
  </cols>
  <sheetData>
    <row r="1" ht="30" customHeight="1">
      <c r="A1" s="1" t="inlineStr">
        <is>
          <t>거래일</t>
        </is>
      </c>
      <c r="B1" s="1" t="inlineStr">
        <is>
          <t>자산구분</t>
        </is>
      </c>
      <c r="C1" s="1" t="inlineStr">
        <is>
          <t>시장</t>
        </is>
      </c>
      <c r="D1" s="1" t="inlineStr">
        <is>
          <t>종목명</t>
        </is>
      </c>
      <c r="E1" s="1" t="inlineStr">
        <is>
          <t>티커</t>
        </is>
      </c>
      <c r="F1" s="1" t="inlineStr">
        <is>
          <t>구분</t>
        </is>
      </c>
      <c r="G1" s="1" t="inlineStr">
        <is>
          <t>수량</t>
        </is>
      </c>
      <c r="H1" s="1" t="inlineStr">
        <is>
          <t>단가(현지)</t>
        </is>
      </c>
      <c r="I1" s="1" t="inlineStr">
        <is>
          <t>통화</t>
        </is>
      </c>
      <c r="J1" s="1" t="inlineStr">
        <is>
          <t>환율</t>
        </is>
      </c>
      <c r="K1" s="1" t="inlineStr">
        <is>
          <t>수수료(원)</t>
        </is>
      </c>
      <c r="L1" s="1" t="inlineStr">
        <is>
          <t>세금(원)</t>
        </is>
      </c>
      <c r="M1" s="1" t="inlineStr">
        <is>
          <t>총액(원화)</t>
        </is>
      </c>
      <c r="N1" s="1" t="inlineStr">
        <is>
          <t>메모</t>
        </is>
      </c>
    </row>
    <row r="2">
      <c r="A2" s="2" t="inlineStr">
        <is>
          <t>2026-01-15</t>
        </is>
      </c>
      <c r="B2" s="3" t="inlineStr">
        <is>
          <t>주식</t>
        </is>
      </c>
      <c r="C2" s="3" t="inlineStr">
        <is>
          <t>한국</t>
        </is>
      </c>
      <c r="D2" s="4" t="inlineStr">
        <is>
          <t>삼성전자</t>
        </is>
      </c>
      <c r="E2" s="4" t="inlineStr">
        <is>
          <t>005930</t>
        </is>
      </c>
      <c r="F2" s="3" t="inlineStr">
        <is>
          <t>매수</t>
        </is>
      </c>
      <c r="G2" s="5" t="n">
        <v>100</v>
      </c>
      <c r="H2" s="5" t="n">
        <v>78000</v>
      </c>
      <c r="I2" s="3" t="inlineStr">
        <is>
          <t>KRW</t>
        </is>
      </c>
      <c r="J2" s="5" t="n">
        <v>1</v>
      </c>
      <c r="K2" s="5" t="n">
        <v>1500</v>
      </c>
      <c r="L2" s="5" t="n">
        <v>0</v>
      </c>
      <c r="M2" s="6">
        <f>IF(F2="매수", -1, 1) * (G2 * H2 * J2) - K2 - L2</f>
        <v/>
      </c>
      <c r="N2" s="4" t="inlineStr">
        <is>
          <t>1분기 실적 기대</t>
        </is>
      </c>
    </row>
    <row r="3">
      <c r="A3" s="2" t="inlineStr">
        <is>
          <t>2026-02-03</t>
        </is>
      </c>
      <c r="B3" s="3" t="inlineStr">
        <is>
          <t>주식</t>
        </is>
      </c>
      <c r="C3" s="3" t="inlineStr">
        <is>
          <t>미국</t>
        </is>
      </c>
      <c r="D3" s="4" t="inlineStr">
        <is>
          <t>NVIDIA</t>
        </is>
      </c>
      <c r="E3" s="4" t="inlineStr">
        <is>
          <t>NVDA</t>
        </is>
      </c>
      <c r="F3" s="3" t="inlineStr">
        <is>
          <t>매수</t>
        </is>
      </c>
      <c r="G3" s="5" t="n">
        <v>10</v>
      </c>
      <c r="H3" s="5" t="n">
        <v>850</v>
      </c>
      <c r="I3" s="3" t="inlineStr">
        <is>
          <t>USD</t>
        </is>
      </c>
      <c r="J3" s="5" t="n">
        <v>1380</v>
      </c>
      <c r="K3" s="5" t="n">
        <v>2000</v>
      </c>
      <c r="L3" s="5" t="n">
        <v>0</v>
      </c>
      <c r="M3" s="6">
        <f>IF(F3="매수", -1, 1) * (G3 * H3 * J3) - K3 - L3</f>
        <v/>
      </c>
      <c r="N3" s="4" t="inlineStr">
        <is>
          <t>AI 트렌드 지속</t>
        </is>
      </c>
    </row>
    <row r="4">
      <c r="A4" s="2" t="inlineStr">
        <is>
          <t>2026-03-20</t>
        </is>
      </c>
      <c r="B4" s="3" t="inlineStr">
        <is>
          <t>ETF</t>
        </is>
      </c>
      <c r="C4" s="3" t="inlineStr">
        <is>
          <t>미국</t>
        </is>
      </c>
      <c r="D4" s="4" t="inlineStr">
        <is>
          <t>Invesco QQQ</t>
        </is>
      </c>
      <c r="E4" s="4" t="inlineStr">
        <is>
          <t>QQQ</t>
        </is>
      </c>
      <c r="F4" s="3" t="inlineStr">
        <is>
          <t>매수</t>
        </is>
      </c>
      <c r="G4" s="5" t="n">
        <v>5</v>
      </c>
      <c r="H4" s="5" t="n">
        <v>480</v>
      </c>
      <c r="I4" s="3" t="inlineStr">
        <is>
          <t>USD</t>
        </is>
      </c>
      <c r="J4" s="5" t="n">
        <v>1390</v>
      </c>
      <c r="K4" s="5" t="n">
        <v>1500</v>
      </c>
      <c r="L4" s="5" t="n">
        <v>0</v>
      </c>
      <c r="M4" s="6">
        <f>IF(F4="매수", -1, 1) * (G4 * H4 * J4) - K4 - L4</f>
        <v/>
      </c>
      <c r="N4" s="4" t="inlineStr">
        <is>
          <t>분산 투자</t>
        </is>
      </c>
    </row>
    <row r="5">
      <c r="A5" s="2" t="inlineStr">
        <is>
          <t>2026-04-10</t>
        </is>
      </c>
      <c r="B5" s="3" t="inlineStr">
        <is>
          <t>코인</t>
        </is>
      </c>
      <c r="C5" s="3" t="inlineStr">
        <is>
          <t>암호화폐</t>
        </is>
      </c>
      <c r="D5" s="4" t="inlineStr">
        <is>
          <t>비트코인</t>
        </is>
      </c>
      <c r="E5" s="4" t="inlineStr">
        <is>
          <t>BTC</t>
        </is>
      </c>
      <c r="F5" s="3" t="inlineStr">
        <is>
          <t>매수</t>
        </is>
      </c>
      <c r="G5" s="5" t="n">
        <v>0.05</v>
      </c>
      <c r="H5" s="5" t="n">
        <v>95000</v>
      </c>
      <c r="I5" s="3" t="inlineStr">
        <is>
          <t>USD</t>
        </is>
      </c>
      <c r="J5" s="5" t="n">
        <v>1400</v>
      </c>
      <c r="K5" s="5" t="n">
        <v>5000</v>
      </c>
      <c r="L5" s="5" t="n">
        <v>0</v>
      </c>
      <c r="M5" s="6">
        <f>IF(F5="매수", -1, 1) * (G5 * H5 * J5) - K5 - L5</f>
        <v/>
      </c>
      <c r="N5" s="4" t="inlineStr">
        <is>
          <t>장기 보유</t>
        </is>
      </c>
    </row>
    <row r="6">
      <c r="A6" s="2" t="inlineStr">
        <is>
          <t>2026-04-29</t>
        </is>
      </c>
      <c r="B6" s="3" t="inlineStr">
        <is>
          <t>주식</t>
        </is>
      </c>
      <c r="C6" s="3" t="inlineStr">
        <is>
          <t>한국</t>
        </is>
      </c>
      <c r="D6" s="4" t="inlineStr">
        <is>
          <t>삼성전자</t>
        </is>
      </c>
      <c r="E6" s="4" t="inlineStr">
        <is>
          <t>005930</t>
        </is>
      </c>
      <c r="F6" s="3" t="inlineStr">
        <is>
          <t>매도</t>
        </is>
      </c>
      <c r="G6" s="5" t="n">
        <v>50</v>
      </c>
      <c r="H6" s="5" t="n">
        <v>92000</v>
      </c>
      <c r="I6" s="3" t="inlineStr">
        <is>
          <t>KRW</t>
        </is>
      </c>
      <c r="J6" s="5" t="n">
        <v>1</v>
      </c>
      <c r="K6" s="5" t="n">
        <v>1500</v>
      </c>
      <c r="L6" s="5" t="n">
        <v>0</v>
      </c>
      <c r="M6" s="6">
        <f>IF(F6="매수", -1, 1) * (G6 * H6 * J6) - K6 - L6</f>
        <v/>
      </c>
      <c r="N6" s="4" t="inlineStr">
        <is>
          <t>일부 차익실현</t>
        </is>
      </c>
    </row>
    <row r="7">
      <c r="A7" s="2" t="inlineStr">
        <is>
          <t>2026-05-15</t>
        </is>
      </c>
      <c r="B7" s="3" t="inlineStr">
        <is>
          <t>주식</t>
        </is>
      </c>
      <c r="C7" s="3" t="inlineStr">
        <is>
          <t>미국</t>
        </is>
      </c>
      <c r="D7" s="4" t="inlineStr">
        <is>
          <t>Apple</t>
        </is>
      </c>
      <c r="E7" s="4" t="inlineStr">
        <is>
          <t>AAPL</t>
        </is>
      </c>
      <c r="F7" s="3" t="inlineStr">
        <is>
          <t>매수</t>
        </is>
      </c>
      <c r="G7" s="5" t="n">
        <v>15</v>
      </c>
      <c r="H7" s="5" t="n">
        <v>230</v>
      </c>
      <c r="I7" s="3" t="inlineStr">
        <is>
          <t>USD</t>
        </is>
      </c>
      <c r="J7" s="5" t="n">
        <v>1395</v>
      </c>
      <c r="K7" s="5" t="n">
        <v>2500</v>
      </c>
      <c r="L7" s="5" t="n">
        <v>0</v>
      </c>
      <c r="M7" s="6">
        <f>IF(F7="매수", -1, 1) * (G7 * H7 * J7) - K7 - L7</f>
        <v/>
      </c>
      <c r="N7" s="4" t="inlineStr">
        <is>
          <t>WWDC 기대</t>
        </is>
      </c>
    </row>
  </sheetData>
  <conditionalFormatting sqref="F2:F1000">
    <cfRule type="expression" priority="1" dxfId="0">
      <formula>$F2="매수"</formula>
    </cfRule>
    <cfRule type="expression" priority="2" dxfId="1">
      <formula>$F2="매도"</formula>
    </cfRule>
  </conditionalFormatting>
  <dataValidations count="4">
    <dataValidation sqref="B2:B1000" showDropDown="0" showInputMessage="0" showErrorMessage="0" allowBlank="1" type="list">
      <formula1>"주식,ETF,코인,채권,펀드,기타"</formula1>
    </dataValidation>
    <dataValidation sqref="C2:C1000" showDropDown="0" showInputMessage="0" showErrorMessage="0" allowBlank="1" type="list">
      <formula1>"한국,미국,중국,일본,유럽,암호화폐,기타"</formula1>
    </dataValidation>
    <dataValidation sqref="F2:F1000" showDropDown="0" showInputMessage="0" showErrorMessage="0" allowBlank="1" type="list">
      <formula1>"매수,매도"</formula1>
    </dataValidation>
    <dataValidation sqref="I2:I1000" showDropDown="0" showInputMessage="0" showErrorMessage="0" allowBlank="1" type="list">
      <formula1>"KRW,USD,JPY,EUR,CNY"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0" customWidth="1" min="11" max="11"/>
  </cols>
  <sheetData>
    <row r="1" ht="35" customHeight="1">
      <c r="A1" s="7" t="inlineStr">
        <is>
          <t>📊 실시간 보유 종목 현황</t>
        </is>
      </c>
    </row>
    <row r="2">
      <c r="A2" s="8" t="inlineStr">
        <is>
          <t>※ 종목을 추가하려면 아래 표에 티커를 입력하세요. 보유수량·평균단가는 매매입력 시트에서 자동 집계됩니다.</t>
        </is>
      </c>
    </row>
    <row r="4" ht="30" customHeight="1">
      <c r="A4" s="1" t="inlineStr">
        <is>
          <t>종목명</t>
        </is>
      </c>
      <c r="B4" s="1" t="inlineStr">
        <is>
          <t>티커</t>
        </is>
      </c>
      <c r="C4" s="1" t="inlineStr">
        <is>
          <t>자산구분</t>
        </is>
      </c>
      <c r="D4" s="1" t="inlineStr">
        <is>
          <t>시장</t>
        </is>
      </c>
      <c r="E4" s="1" t="inlineStr">
        <is>
          <t>통화</t>
        </is>
      </c>
      <c r="F4" s="1" t="inlineStr">
        <is>
          <t>보유수량</t>
        </is>
      </c>
      <c r="G4" s="1" t="inlineStr">
        <is>
          <t>평균단가</t>
        </is>
      </c>
      <c r="H4" s="1" t="inlineStr">
        <is>
          <t>현재가</t>
        </is>
      </c>
      <c r="I4" s="1" t="inlineStr">
        <is>
          <t>평가금액(원)</t>
        </is>
      </c>
      <c r="J4" s="1" t="inlineStr">
        <is>
          <t>평가손익(원)</t>
        </is>
      </c>
      <c r="K4" s="1" t="inlineStr">
        <is>
          <t>수익률(%)</t>
        </is>
      </c>
    </row>
    <row r="5">
      <c r="A5" s="9" t="inlineStr">
        <is>
          <t>삼성전자</t>
        </is>
      </c>
      <c r="B5" s="9" t="inlineStr">
        <is>
          <t>005930</t>
        </is>
      </c>
      <c r="C5" s="10" t="inlineStr">
        <is>
          <t>주식</t>
        </is>
      </c>
      <c r="D5" s="10" t="inlineStr">
        <is>
          <t>한국</t>
        </is>
      </c>
      <c r="E5" s="10" t="inlineStr">
        <is>
          <t>KRW</t>
        </is>
      </c>
      <c r="F5" s="11">
        <f>SUMIFS('1.매매입력'!G:G,'1.매매입력'!E:E,B5,'1.매매입력'!F:F,"매수") - SUMIFS('1.매매입력'!G:G,'1.매매입력'!E:E,B5,'1.매매입력'!F:F,"매도")</f>
        <v/>
      </c>
      <c r="G5" s="12">
        <f>IFERROR(SUMPRODUCT(('1.매매입력'!E$2:E$1000=B5)*('1.매매입력'!F$2:F$1000="매수")*'1.매매입력'!G$2:G$1000*'1.매매입력'!H$2:H$1000) / SUMIFS('1.매매입력'!G:G,'1.매매입력'!E:E,B5,'1.매매입력'!F:F,"매수"), 0)</f>
        <v/>
      </c>
      <c r="H5" s="12">
        <f>GOOGLEFINANCE("KRX:"&amp;B5)</f>
        <v/>
      </c>
      <c r="I5" s="13">
        <f>IFERROR(F5*H5*VLOOKUP(E5,'8.설정'!$B$5:$C$10,2,FALSE), 0)</f>
        <v/>
      </c>
      <c r="J5" s="13">
        <f>I5 - F5*G5*VLOOKUP(E5,'8.설정'!$B$5:$C$10,2,FALSE)</f>
        <v/>
      </c>
      <c r="K5" s="14">
        <f>IFERROR(J5/(F5*G5*VLOOKUP(E5,'8.설정'!$B$5:$C$10,2,FALSE)), 0)</f>
        <v/>
      </c>
    </row>
    <row r="6">
      <c r="A6" s="9" t="inlineStr">
        <is>
          <t>NVIDIA</t>
        </is>
      </c>
      <c r="B6" s="9" t="inlineStr">
        <is>
          <t>NVDA</t>
        </is>
      </c>
      <c r="C6" s="10" t="inlineStr">
        <is>
          <t>주식</t>
        </is>
      </c>
      <c r="D6" s="10" t="inlineStr">
        <is>
          <t>미국</t>
        </is>
      </c>
      <c r="E6" s="10" t="inlineStr">
        <is>
          <t>USD</t>
        </is>
      </c>
      <c r="F6" s="11">
        <f>SUMIFS('1.매매입력'!G:G,'1.매매입력'!E:E,B6,'1.매매입력'!F:F,"매수") - SUMIFS('1.매매입력'!G:G,'1.매매입력'!E:E,B6,'1.매매입력'!F:F,"매도")</f>
        <v/>
      </c>
      <c r="G6" s="12">
        <f>IFERROR(SUMPRODUCT(('1.매매입력'!E$2:E$1000=B6)*('1.매매입력'!F$2:F$1000="매수")*'1.매매입력'!G$2:G$1000*'1.매매입력'!H$2:H$1000) / SUMIFS('1.매매입력'!G:G,'1.매매입력'!E:E,B6,'1.매매입력'!F:F,"매수"), 0)</f>
        <v/>
      </c>
      <c r="H6" s="12">
        <f>GOOGLEFINANCE(B6)</f>
        <v/>
      </c>
      <c r="I6" s="13">
        <f>IFERROR(F6*H6*VLOOKUP(E6,'8.설정'!$B$5:$C$10,2,FALSE), 0)</f>
        <v/>
      </c>
      <c r="J6" s="13">
        <f>I6 - F6*G6*VLOOKUP(E6,'8.설정'!$B$5:$C$10,2,FALSE)</f>
        <v/>
      </c>
      <c r="K6" s="14">
        <f>IFERROR(J6/(F6*G6*VLOOKUP(E6,'8.설정'!$B$5:$C$10,2,FALSE)), 0)</f>
        <v/>
      </c>
    </row>
    <row r="7">
      <c r="A7" s="9" t="inlineStr">
        <is>
          <t>Invesco QQQ</t>
        </is>
      </c>
      <c r="B7" s="9" t="inlineStr">
        <is>
          <t>QQQ</t>
        </is>
      </c>
      <c r="C7" s="10" t="inlineStr">
        <is>
          <t>ETF</t>
        </is>
      </c>
      <c r="D7" s="10" t="inlineStr">
        <is>
          <t>미국</t>
        </is>
      </c>
      <c r="E7" s="10" t="inlineStr">
        <is>
          <t>USD</t>
        </is>
      </c>
      <c r="F7" s="11">
        <f>SUMIFS('1.매매입력'!G:G,'1.매매입력'!E:E,B7,'1.매매입력'!F:F,"매수") - SUMIFS('1.매매입력'!G:G,'1.매매입력'!E:E,B7,'1.매매입력'!F:F,"매도")</f>
        <v/>
      </c>
      <c r="G7" s="12">
        <f>IFERROR(SUMPRODUCT(('1.매매입력'!E$2:E$1000=B7)*('1.매매입력'!F$2:F$1000="매수")*'1.매매입력'!G$2:G$1000*'1.매매입력'!H$2:H$1000) / SUMIFS('1.매매입력'!G:G,'1.매매입력'!E:E,B7,'1.매매입력'!F:F,"매수"), 0)</f>
        <v/>
      </c>
      <c r="H7" s="12">
        <f>GOOGLEFINANCE(B7)</f>
        <v/>
      </c>
      <c r="I7" s="13">
        <f>IFERROR(F7*H7*VLOOKUP(E7,'8.설정'!$B$5:$C$10,2,FALSE), 0)</f>
        <v/>
      </c>
      <c r="J7" s="13">
        <f>I7 - F7*G7*VLOOKUP(E7,'8.설정'!$B$5:$C$10,2,FALSE)</f>
        <v/>
      </c>
      <c r="K7" s="14">
        <f>IFERROR(J7/(F7*G7*VLOOKUP(E7,'8.설정'!$B$5:$C$10,2,FALSE)), 0)</f>
        <v/>
      </c>
    </row>
    <row r="8">
      <c r="A8" s="9" t="inlineStr">
        <is>
          <t>비트코인</t>
        </is>
      </c>
      <c r="B8" s="9" t="inlineStr">
        <is>
          <t>BTC</t>
        </is>
      </c>
      <c r="C8" s="10" t="inlineStr">
        <is>
          <t>코인</t>
        </is>
      </c>
      <c r="D8" s="10" t="inlineStr">
        <is>
          <t>암호화폐</t>
        </is>
      </c>
      <c r="E8" s="10" t="inlineStr">
        <is>
          <t>USD</t>
        </is>
      </c>
      <c r="F8" s="11">
        <f>SUMIFS('1.매매입력'!G:G,'1.매매입력'!E:E,B8,'1.매매입력'!F:F,"매수") - SUMIFS('1.매매입력'!G:G,'1.매매입력'!E:E,B8,'1.매매입력'!F:F,"매도")</f>
        <v/>
      </c>
      <c r="G8" s="12">
        <f>IFERROR(SUMPRODUCT(('1.매매입력'!E$2:E$1000=B8)*('1.매매입력'!F$2:F$1000="매수")*'1.매매입력'!G$2:G$1000*'1.매매입력'!H$2:H$1000) / SUMIFS('1.매매입력'!G:G,'1.매매입력'!E:E,B8,'1.매매입력'!F:F,"매수"), 0)</f>
        <v/>
      </c>
      <c r="H8" s="12">
        <f>GOOGLEFINANCE("CURRENCY:"&amp;B8&amp;"USD")</f>
        <v/>
      </c>
      <c r="I8" s="13">
        <f>IFERROR(F8*H8*VLOOKUP(E8,'8.설정'!$B$5:$C$10,2,FALSE), 0)</f>
        <v/>
      </c>
      <c r="J8" s="13">
        <f>I8 - F8*G8*VLOOKUP(E8,'8.설정'!$B$5:$C$10,2,FALSE)</f>
        <v/>
      </c>
      <c r="K8" s="14">
        <f>IFERROR(J8/(F8*G8*VLOOKUP(E8,'8.설정'!$B$5:$C$10,2,FALSE)), 0)</f>
        <v/>
      </c>
    </row>
    <row r="9">
      <c r="A9" s="9" t="inlineStr">
        <is>
          <t>Apple</t>
        </is>
      </c>
      <c r="B9" s="9" t="inlineStr">
        <is>
          <t>AAPL</t>
        </is>
      </c>
      <c r="C9" s="10" t="inlineStr">
        <is>
          <t>주식</t>
        </is>
      </c>
      <c r="D9" s="10" t="inlineStr">
        <is>
          <t>미국</t>
        </is>
      </c>
      <c r="E9" s="10" t="inlineStr">
        <is>
          <t>USD</t>
        </is>
      </c>
      <c r="F9" s="11">
        <f>SUMIFS('1.매매입력'!G:G,'1.매매입력'!E:E,B9,'1.매매입력'!F:F,"매수") - SUMIFS('1.매매입력'!G:G,'1.매매입력'!E:E,B9,'1.매매입력'!F:F,"매도")</f>
        <v/>
      </c>
      <c r="G9" s="12">
        <f>IFERROR(SUMPRODUCT(('1.매매입력'!E$2:E$1000=B9)*('1.매매입력'!F$2:F$1000="매수")*'1.매매입력'!G$2:G$1000*'1.매매입력'!H$2:H$1000) / SUMIFS('1.매매입력'!G:G,'1.매매입력'!E:E,B9,'1.매매입력'!F:F,"매수"), 0)</f>
        <v/>
      </c>
      <c r="H9" s="12">
        <f>GOOGLEFINANCE(B9)</f>
        <v/>
      </c>
      <c r="I9" s="13">
        <f>IFERROR(F9*H9*VLOOKUP(E9,'8.설정'!$B$5:$C$10,2,FALSE), 0)</f>
        <v/>
      </c>
      <c r="J9" s="13">
        <f>I9 - F9*G9*VLOOKUP(E9,'8.설정'!$B$5:$C$10,2,FALSE)</f>
        <v/>
      </c>
      <c r="K9" s="14">
        <f>IFERROR(J9/(F9*G9*VLOOKUP(E9,'8.설정'!$B$5:$C$10,2,FALSE)), 0)</f>
        <v/>
      </c>
    </row>
    <row r="10">
      <c r="A10" s="15" t="inlineStr">
        <is>
          <t>합계</t>
        </is>
      </c>
      <c r="B10" s="15" t="n"/>
      <c r="C10" s="16" t="n"/>
      <c r="D10" s="16" t="n"/>
      <c r="E10" s="16" t="n"/>
      <c r="F10" s="17" t="n"/>
      <c r="G10" s="18" t="n"/>
      <c r="H10" s="18" t="n"/>
      <c r="I10" s="19">
        <f>SUM(I5:I9)</f>
        <v/>
      </c>
      <c r="J10" s="19">
        <f>SUM(J5:J9)</f>
        <v/>
      </c>
      <c r="K10" s="20">
        <f>IFERROR(J10/(I10-J10), 0)</f>
        <v/>
      </c>
    </row>
  </sheetData>
  <mergeCells count="2">
    <mergeCell ref="A2:K2"/>
    <mergeCell ref="A1:K1"/>
  </mergeCells>
  <conditionalFormatting sqref="J5:J10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K5:K10">
    <cfRule type="cellIs" priority="3" operator="greaterThan" dxfId="4">
      <formula>0</formula>
    </cfRule>
    <cfRule type="cellIs" priority="4" operator="lessThan" dxfId="5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8" customWidth="1" min="8" max="8"/>
    <col width="16" customWidth="1" min="9" max="9"/>
    <col width="14" customWidth="1" min="10" max="10"/>
  </cols>
  <sheetData>
    <row r="1" ht="35" customHeight="1">
      <c r="A1" s="7" t="inlineStr">
        <is>
          <t>💵 실현 손익 (양도세 계산용)</t>
        </is>
      </c>
    </row>
    <row r="3" ht="30" customHeight="1">
      <c r="A3" s="1" t="inlineStr">
        <is>
          <t>매도일</t>
        </is>
      </c>
      <c r="B3" s="1" t="inlineStr">
        <is>
          <t>종목명</t>
        </is>
      </c>
      <c r="C3" s="1" t="inlineStr">
        <is>
          <t>티커</t>
        </is>
      </c>
      <c r="D3" s="1" t="inlineStr">
        <is>
          <t>매도수량</t>
        </is>
      </c>
      <c r="E3" s="1" t="inlineStr">
        <is>
          <t>매도단가</t>
        </is>
      </c>
      <c r="F3" s="1" t="inlineStr">
        <is>
          <t>평균매수단가</t>
        </is>
      </c>
      <c r="G3" s="1" t="inlineStr">
        <is>
          <t>보유기간(일)</t>
        </is>
      </c>
      <c r="H3" s="1" t="inlineStr">
        <is>
          <t>통화</t>
        </is>
      </c>
      <c r="I3" s="1" t="inlineStr">
        <is>
          <t>실현손익(원)</t>
        </is>
      </c>
      <c r="J3" s="1" t="inlineStr">
        <is>
          <t>양도세 예상</t>
        </is>
      </c>
    </row>
    <row r="4">
      <c r="A4" s="2" t="inlineStr">
        <is>
          <t>2026-04-29</t>
        </is>
      </c>
      <c r="B4" s="21" t="inlineStr">
        <is>
          <t>삼성전자</t>
        </is>
      </c>
      <c r="C4" s="3" t="inlineStr">
        <is>
          <t>005930</t>
        </is>
      </c>
      <c r="D4" s="5" t="n">
        <v>50</v>
      </c>
      <c r="E4" s="5" t="n">
        <v>92000</v>
      </c>
      <c r="F4" s="5" t="n">
        <v>78000</v>
      </c>
      <c r="G4" s="5" t="n">
        <v>104</v>
      </c>
      <c r="H4" s="3" t="inlineStr">
        <is>
          <t>KRW</t>
        </is>
      </c>
      <c r="I4" s="22">
        <f>(E4-F4)*D4*VLOOKUP(H4,'8.설정'!$B$5:$C$10,2,FALSE)</f>
        <v/>
      </c>
      <c r="J4" s="22">
        <f>IF(I4&gt;0, IF(VLOOKUP(B4,'2.보유현황'!A:D,4,FALSE)="미국", MAX(0,(I4-2500000))*0.22, 0), 0)</f>
        <v/>
      </c>
    </row>
    <row r="5">
      <c r="A5" s="2" t="n"/>
      <c r="B5" s="21" t="n"/>
      <c r="C5" s="3" t="n"/>
      <c r="D5" s="5" t="n"/>
      <c r="E5" s="5" t="n"/>
      <c r="F5" s="5" t="n"/>
      <c r="G5" s="5" t="n"/>
      <c r="H5" s="3" t="n"/>
      <c r="I5" s="22" t="n"/>
      <c r="J5" s="22" t="n"/>
    </row>
    <row r="6">
      <c r="A6" s="23" t="inlineStr">
        <is>
          <t>연간 합계</t>
        </is>
      </c>
      <c r="B6" s="15" t="n"/>
      <c r="C6" s="16" t="n"/>
      <c r="D6" s="18" t="n"/>
      <c r="E6" s="18" t="n"/>
      <c r="F6" s="18" t="n"/>
      <c r="G6" s="18" t="n"/>
      <c r="H6" s="16" t="n"/>
      <c r="I6" s="19">
        <f>SUM(I4:I5)</f>
        <v/>
      </c>
      <c r="J6" s="19">
        <f>SUM(J4:J5)</f>
        <v/>
      </c>
    </row>
    <row r="7">
      <c r="A7" s="2" t="n"/>
      <c r="B7" s="21" t="n"/>
      <c r="C7" s="3" t="n"/>
      <c r="D7" s="5" t="n"/>
      <c r="E7" s="5" t="n"/>
      <c r="F7" s="5" t="n"/>
      <c r="G7" s="5" t="n"/>
      <c r="H7" s="3" t="n"/>
      <c r="I7" s="22" t="n"/>
      <c r="J7" s="22" t="n"/>
    </row>
    <row r="8">
      <c r="A8" s="2" t="n"/>
      <c r="B8" s="21" t="n"/>
      <c r="C8" s="3" t="n"/>
      <c r="D8" s="5" t="n"/>
      <c r="E8" s="5" t="n"/>
      <c r="F8" s="5" t="n"/>
      <c r="G8" s="5" t="n"/>
      <c r="H8" s="3" t="n"/>
      <c r="I8" s="22" t="n"/>
      <c r="J8" s="22" t="n"/>
    </row>
    <row r="9">
      <c r="A9" s="2" t="n"/>
      <c r="B9" s="21" t="n"/>
      <c r="C9" s="3" t="n"/>
      <c r="D9" s="5" t="n"/>
      <c r="E9" s="5" t="n"/>
      <c r="F9" s="5" t="n"/>
      <c r="G9" s="5" t="n"/>
      <c r="H9" s="3" t="n"/>
      <c r="I9" s="22" t="n"/>
      <c r="J9" s="22" t="n"/>
    </row>
  </sheetData>
  <mergeCells count="1">
    <mergeCell ref="A1:J1"/>
  </mergeCells>
  <conditionalFormatting sqref="I4:I100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8" customWidth="1" min="6" max="6"/>
    <col width="10" customWidth="1" min="7" max="7"/>
    <col width="16" customWidth="1" min="8" max="8"/>
    <col width="16" customWidth="1" min="9" max="9"/>
  </cols>
  <sheetData>
    <row r="1" ht="35" customHeight="1">
      <c r="A1" s="7" t="inlineStr">
        <is>
          <t>💰 배당 수령 내역</t>
        </is>
      </c>
    </row>
    <row r="3" ht="30" customHeight="1">
      <c r="A3" s="1" t="inlineStr">
        <is>
          <t>지급일</t>
        </is>
      </c>
      <c r="B3" s="1" t="inlineStr">
        <is>
          <t>종목명</t>
        </is>
      </c>
      <c r="C3" s="1" t="inlineStr">
        <is>
          <t>티커</t>
        </is>
      </c>
      <c r="D3" s="1" t="inlineStr">
        <is>
          <t>보유수량</t>
        </is>
      </c>
      <c r="E3" s="1" t="inlineStr">
        <is>
          <t>주당배당</t>
        </is>
      </c>
      <c r="F3" s="1" t="inlineStr">
        <is>
          <t>통화</t>
        </is>
      </c>
      <c r="G3" s="1" t="inlineStr">
        <is>
          <t>환율</t>
        </is>
      </c>
      <c r="H3" s="1" t="inlineStr">
        <is>
          <t>세전배당(원)</t>
        </is>
      </c>
      <c r="I3" s="1" t="inlineStr">
        <is>
          <t>세후배당(원)</t>
        </is>
      </c>
    </row>
    <row r="4">
      <c r="A4" s="2" t="inlineStr">
        <is>
          <t>2026-03-15</t>
        </is>
      </c>
      <c r="B4" s="21" t="inlineStr">
        <is>
          <t>삼성전자</t>
        </is>
      </c>
      <c r="C4" s="3" t="inlineStr">
        <is>
          <t>005930</t>
        </is>
      </c>
      <c r="D4" s="24" t="n">
        <v>100</v>
      </c>
      <c r="E4" s="24" t="n">
        <v>360</v>
      </c>
      <c r="F4" s="3" t="inlineStr">
        <is>
          <t>KRW</t>
        </is>
      </c>
      <c r="G4" s="24" t="n">
        <v>1</v>
      </c>
      <c r="H4" s="22">
        <f>D4*E4*G4</f>
        <v/>
      </c>
      <c r="I4" s="22">
        <f>H4*IF(F4="KRW", 0.846, 0.85)</f>
        <v/>
      </c>
    </row>
    <row r="5">
      <c r="A5" s="2" t="inlineStr">
        <is>
          <t>2026-03-31</t>
        </is>
      </c>
      <c r="B5" s="21" t="inlineStr">
        <is>
          <t>Apple</t>
        </is>
      </c>
      <c r="C5" s="3" t="inlineStr">
        <is>
          <t>AAPL</t>
        </is>
      </c>
      <c r="D5" s="24" t="n">
        <v>15</v>
      </c>
      <c r="E5" s="24" t="n">
        <v>0.25</v>
      </c>
      <c r="F5" s="3" t="inlineStr">
        <is>
          <t>USD</t>
        </is>
      </c>
      <c r="G5" s="24" t="n">
        <v>1395</v>
      </c>
      <c r="H5" s="22">
        <f>D5*E5*G5</f>
        <v/>
      </c>
      <c r="I5" s="22">
        <f>H5*IF(F5="KRW", 0.846, 0.85)</f>
        <v/>
      </c>
    </row>
    <row r="6">
      <c r="A6" s="2" t="inlineStr">
        <is>
          <t>2026-04-30</t>
        </is>
      </c>
      <c r="B6" s="21" t="inlineStr">
        <is>
          <t>Invesco QQQ</t>
        </is>
      </c>
      <c r="C6" s="3" t="inlineStr">
        <is>
          <t>QQQ</t>
        </is>
      </c>
      <c r="D6" s="24" t="n">
        <v>5</v>
      </c>
      <c r="E6" s="24" t="n">
        <v>0.65</v>
      </c>
      <c r="F6" s="3" t="inlineStr">
        <is>
          <t>USD</t>
        </is>
      </c>
      <c r="G6" s="24" t="n">
        <v>1400</v>
      </c>
      <c r="H6" s="22">
        <f>D6*E6*G6</f>
        <v/>
      </c>
      <c r="I6" s="22">
        <f>H6*IF(F6="KRW", 0.846, 0.85)</f>
        <v/>
      </c>
    </row>
    <row r="8">
      <c r="A8" s="25" t="inlineStr">
        <is>
          <t>누적 합계</t>
        </is>
      </c>
      <c r="B8" s="25" t="n"/>
      <c r="C8" s="25" t="n"/>
      <c r="D8" s="25" t="n"/>
      <c r="E8" s="25" t="n"/>
      <c r="F8" s="25" t="n"/>
      <c r="G8" s="25" t="n"/>
      <c r="H8" s="25">
        <f>SUM(H4:H7)</f>
        <v/>
      </c>
      <c r="I8" s="25">
        <f>SUM(I4:I7)</f>
        <v/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44336"/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32" customWidth="1" min="8" max="8"/>
    <col width="32" customWidth="1" min="9" max="9"/>
    <col width="25" customWidth="1" min="10" max="10"/>
  </cols>
  <sheetData>
    <row r="1" ht="35" customHeight="1">
      <c r="A1" s="7" t="inlineStr">
        <is>
          <t>📓 매매일지 - 왜 샀고 왜 팔았는가</t>
        </is>
      </c>
    </row>
    <row r="2">
      <c r="A2" s="8" t="inlineStr">
        <is>
          <t>※ 거래 직전·직후에 작성하면 감정적 매매가 줄고 실력이 빠르게 늡니다.</t>
        </is>
      </c>
    </row>
    <row r="4" ht="30" customHeight="1">
      <c r="A4" s="1" t="inlineStr">
        <is>
          <t>일자</t>
        </is>
      </c>
      <c r="B4" s="1" t="inlineStr">
        <is>
          <t>종목</t>
        </is>
      </c>
      <c r="C4" s="1" t="inlineStr">
        <is>
          <t>티커</t>
        </is>
      </c>
      <c r="D4" s="1" t="inlineStr">
        <is>
          <t>구분</t>
        </is>
      </c>
      <c r="E4" s="1" t="inlineStr">
        <is>
          <t>진입가</t>
        </is>
      </c>
      <c r="F4" s="1" t="inlineStr">
        <is>
          <t>손절가</t>
        </is>
      </c>
      <c r="G4" s="1" t="inlineStr">
        <is>
          <t>목표가</t>
        </is>
      </c>
      <c r="H4" s="1" t="inlineStr">
        <is>
          <t>진입 근거</t>
        </is>
      </c>
      <c r="I4" s="1" t="inlineStr">
        <is>
          <t>결과 회고 (잘한점/못한점)</t>
        </is>
      </c>
      <c r="J4" s="1" t="inlineStr">
        <is>
          <t>교훈</t>
        </is>
      </c>
    </row>
    <row r="5" ht="60" customHeight="1">
      <c r="A5" s="26" t="inlineStr">
        <is>
          <t>2026-02-03</t>
        </is>
      </c>
      <c r="B5" s="27" t="inlineStr">
        <is>
          <t>NVIDIA</t>
        </is>
      </c>
      <c r="C5" s="28" t="inlineStr">
        <is>
          <t>NVDA</t>
        </is>
      </c>
      <c r="D5" s="28" t="inlineStr">
        <is>
          <t>진입</t>
        </is>
      </c>
      <c r="E5" s="29" t="n">
        <v>850</v>
      </c>
      <c r="F5" s="29" t="n">
        <v>780</v>
      </c>
      <c r="G5" s="29" t="n">
        <v>1100</v>
      </c>
      <c r="H5" s="27" t="inlineStr">
        <is>
          <t>AI 데이터센터 CAPEX 폭증, FY26 가이던스 상향, Blackwell 양산 시작</t>
        </is>
      </c>
      <c r="I5" s="27" t="inlineStr">
        <is>
          <t>진입 타이밍 좋았음. 다만 분할매수했어야 했음.</t>
        </is>
      </c>
      <c r="J5" s="27" t="inlineStr">
        <is>
          <t>단번에 풀매수 X, 3차에 나눠 진입</t>
        </is>
      </c>
    </row>
    <row r="6" ht="60" customHeight="1">
      <c r="A6" s="26" t="inlineStr">
        <is>
          <t>2026-04-29</t>
        </is>
      </c>
      <c r="B6" s="27" t="inlineStr">
        <is>
          <t>삼성전자</t>
        </is>
      </c>
      <c r="C6" s="28" t="inlineStr">
        <is>
          <t>005930</t>
        </is>
      </c>
      <c r="D6" s="28" t="inlineStr">
        <is>
          <t>청산(일부)</t>
        </is>
      </c>
      <c r="E6" s="29" t="n">
        <v>78000</v>
      </c>
      <c r="F6" s="29" t="n">
        <v>72000</v>
      </c>
      <c r="G6" s="29" t="n">
        <v>95000</v>
      </c>
      <c r="H6" s="27" t="inlineStr">
        <is>
          <t>HBM4 완판 + 메모리 이익률 74%, 1분기 실적 서프라이즈</t>
        </is>
      </c>
      <c r="I6" s="27" t="inlineStr">
        <is>
          <t>+18% 차익실현 성공. 그러나 너무 일찍 절반 매도. 더 들고 갔어야.</t>
        </is>
      </c>
      <c r="J6" s="27" t="inlineStr">
        <is>
          <t>추세 살아있을 때는 트레일링스탑 사용</t>
        </is>
      </c>
    </row>
    <row r="7" ht="60" customHeight="1">
      <c r="A7" s="26" t="n"/>
      <c r="B7" s="27" t="n"/>
      <c r="C7" s="28" t="n"/>
      <c r="D7" s="28" t="n"/>
      <c r="E7" s="29" t="n"/>
      <c r="F7" s="29" t="n"/>
      <c r="G7" s="29" t="n"/>
      <c r="H7" s="27" t="n"/>
      <c r="I7" s="27" t="n"/>
      <c r="J7" s="27" t="n"/>
    </row>
    <row r="8" ht="60" customHeight="1">
      <c r="A8" s="26" t="n"/>
      <c r="B8" s="27" t="n"/>
      <c r="C8" s="28" t="n"/>
      <c r="D8" s="28" t="n"/>
      <c r="E8" s="29" t="n"/>
      <c r="F8" s="29" t="n"/>
      <c r="G8" s="29" t="n"/>
      <c r="H8" s="27" t="n"/>
      <c r="I8" s="27" t="n"/>
      <c r="J8" s="27" t="n"/>
    </row>
    <row r="9" ht="60" customHeight="1">
      <c r="A9" s="26" t="n"/>
      <c r="B9" s="27" t="n"/>
      <c r="C9" s="28" t="n"/>
      <c r="D9" s="28" t="n"/>
      <c r="E9" s="29" t="n"/>
      <c r="F9" s="29" t="n"/>
      <c r="G9" s="29" t="n"/>
      <c r="H9" s="27" t="n"/>
      <c r="I9" s="27" t="n"/>
      <c r="J9" s="27" t="n"/>
    </row>
    <row r="10" ht="60" customHeight="1">
      <c r="A10" s="26" t="n"/>
      <c r="B10" s="27" t="n"/>
      <c r="C10" s="28" t="n"/>
      <c r="D10" s="28" t="n"/>
      <c r="E10" s="29" t="n"/>
      <c r="F10" s="29" t="n"/>
      <c r="G10" s="29" t="n"/>
      <c r="H10" s="27" t="n"/>
      <c r="I10" s="27" t="n"/>
      <c r="J10" s="27" t="n"/>
    </row>
    <row r="11" ht="60" customHeight="1">
      <c r="A11" s="26" t="n"/>
      <c r="B11" s="27" t="n"/>
      <c r="C11" s="28" t="n"/>
      <c r="D11" s="28" t="n"/>
      <c r="E11" s="29" t="n"/>
      <c r="F11" s="29" t="n"/>
      <c r="G11" s="29" t="n"/>
      <c r="H11" s="27" t="n"/>
      <c r="I11" s="27" t="n"/>
      <c r="J11" s="27" t="n"/>
    </row>
  </sheetData>
  <mergeCells count="2">
    <mergeCell ref="A1:J1"/>
    <mergeCell ref="A2:J2"/>
  </mergeCells>
  <dataValidations count="1">
    <dataValidation sqref="D5:D1000" showDropDown="0" showInputMessage="0" showErrorMessage="0" allowBlank="1" type="list">
      <formula1>"진입,청산,청산(일부),관망,추가매수"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CD4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</cols>
  <sheetData>
    <row r="1" ht="40" customHeight="1">
      <c r="A1" s="7" t="inlineStr">
        <is>
          <t>📈 포트폴리오 종합 대시보드</t>
        </is>
      </c>
    </row>
    <row r="3">
      <c r="A3" s="30" t="inlineStr">
        <is>
          <t>🏆 핵심 지표</t>
        </is>
      </c>
    </row>
    <row r="5" ht="25" customHeight="1">
      <c r="A5" s="31" t="inlineStr">
        <is>
          <t>총 평가금액</t>
        </is>
      </c>
      <c r="D5" s="32" t="inlineStr">
        <is>
          <t>총 평가손익</t>
        </is>
      </c>
      <c r="G5" s="33" t="inlineStr">
        <is>
          <t>총 수익률</t>
        </is>
      </c>
    </row>
    <row r="6" ht="28" customHeight="1">
      <c r="A6" s="34">
        <f>'2.보유현황'!I10</f>
        <v/>
      </c>
      <c r="D6" s="34">
        <f>'2.보유현황'!J10</f>
        <v/>
      </c>
      <c r="G6" s="35">
        <f>'2.보유현황'!K10</f>
        <v/>
      </c>
    </row>
    <row r="7"/>
    <row r="9" ht="25" customHeight="1">
      <c r="A9" s="36" t="inlineStr">
        <is>
          <t>실현손익(YTD)</t>
        </is>
      </c>
      <c r="D9" s="37" t="inlineStr">
        <is>
          <t>배당수령(누적)</t>
        </is>
      </c>
      <c r="G9" s="38" t="inlineStr">
        <is>
          <t>종목 수</t>
        </is>
      </c>
    </row>
    <row r="10" ht="28" customHeight="1">
      <c r="A10" s="34">
        <f>'3.실현손익'!I6</f>
        <v/>
      </c>
      <c r="D10" s="34">
        <f>'4.배당내역'!I8</f>
        <v/>
      </c>
      <c r="G10" s="39">
        <f>COUNTA('2.보유현황'!B5:B9)</f>
        <v/>
      </c>
    </row>
    <row r="11"/>
    <row r="14">
      <c r="A14" s="30" t="inlineStr">
        <is>
          <t>📊 종목별 비중</t>
        </is>
      </c>
    </row>
    <row r="15">
      <c r="A15" t="inlineStr">
        <is>
          <t>삼성전자</t>
        </is>
      </c>
      <c r="B15" s="40">
        <f>'2.보유현황'!I5</f>
        <v/>
      </c>
    </row>
    <row r="16">
      <c r="A16" t="inlineStr">
        <is>
          <t>NVIDIA</t>
        </is>
      </c>
      <c r="B16" s="40">
        <f>'2.보유현황'!I6</f>
        <v/>
      </c>
    </row>
    <row r="17">
      <c r="A17" t="inlineStr">
        <is>
          <t>Invesco QQQ</t>
        </is>
      </c>
      <c r="B17" s="40">
        <f>'2.보유현황'!I7</f>
        <v/>
      </c>
    </row>
    <row r="18">
      <c r="A18" t="inlineStr">
        <is>
          <t>비트코인</t>
        </is>
      </c>
      <c r="B18" s="40">
        <f>'2.보유현황'!I8</f>
        <v/>
      </c>
    </row>
    <row r="19">
      <c r="A19" t="inlineStr">
        <is>
          <t>Apple</t>
        </is>
      </c>
      <c r="B19" s="40">
        <f>'2.보유현황'!I9</f>
        <v/>
      </c>
    </row>
    <row r="22">
      <c r="A22" s="30" t="inlineStr">
        <is>
          <t>🥧 자산 구분별 비중</t>
        </is>
      </c>
    </row>
    <row r="23">
      <c r="A23" t="inlineStr">
        <is>
          <t>주식</t>
        </is>
      </c>
      <c r="B23" s="40">
        <f>SUMIFS('2.보유현황'!I:I, '2.보유현황'!C:C, "주식")</f>
        <v/>
      </c>
    </row>
    <row r="24">
      <c r="A24" t="inlineStr">
        <is>
          <t>ETF</t>
        </is>
      </c>
      <c r="B24" s="40">
        <f>SUMIFS('2.보유현황'!I:I, '2.보유현황'!C:C, "ETF")</f>
        <v/>
      </c>
    </row>
    <row r="25">
      <c r="A25" t="inlineStr">
        <is>
          <t>코인</t>
        </is>
      </c>
      <c r="B25" s="40">
        <f>SUMIFS('2.보유현황'!I:I, '2.보유현황'!C:C, "코인")</f>
        <v/>
      </c>
    </row>
    <row r="26">
      <c r="A26" t="inlineStr">
        <is>
          <t>채권</t>
        </is>
      </c>
      <c r="B26" s="40">
        <f>SUMIFS('2.보유현황'!I:I, '2.보유현황'!C:C, "채권")</f>
        <v/>
      </c>
    </row>
    <row r="27">
      <c r="A27" t="inlineStr">
        <is>
          <t>펀드</t>
        </is>
      </c>
      <c r="B27" s="40">
        <f>SUMIFS('2.보유현황'!I:I, '2.보유현황'!C:C, "펀드")</f>
        <v/>
      </c>
    </row>
  </sheetData>
  <mergeCells count="14">
    <mergeCell ref="A3:H3"/>
    <mergeCell ref="G6:H7"/>
    <mergeCell ref="D5:E5"/>
    <mergeCell ref="A5:B5"/>
    <mergeCell ref="A6:B7"/>
    <mergeCell ref="G5:H5"/>
    <mergeCell ref="D6:E7"/>
    <mergeCell ref="A10:B11"/>
    <mergeCell ref="G10:H11"/>
    <mergeCell ref="A1:H1"/>
    <mergeCell ref="A9:B9"/>
    <mergeCell ref="G9:H9"/>
    <mergeCell ref="D9:E9"/>
    <mergeCell ref="D10:E1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FC107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2" customWidth="1" min="9" max="9"/>
    <col width="18" customWidth="1" min="10" max="10"/>
  </cols>
  <sheetData>
    <row r="1" ht="35" customHeight="1">
      <c r="A1" s="7" t="inlineStr">
        <is>
          <t>📅 월별/연도별 성과 추적</t>
        </is>
      </c>
    </row>
    <row r="3" ht="30" customHeight="1">
      <c r="A3" s="1" t="inlineStr">
        <is>
          <t>월</t>
        </is>
      </c>
      <c r="B3" s="1" t="inlineStr">
        <is>
          <t>시작자산(원)</t>
        </is>
      </c>
      <c r="C3" s="1" t="inlineStr">
        <is>
          <t>입금</t>
        </is>
      </c>
      <c r="D3" s="1" t="inlineStr">
        <is>
          <t>출금</t>
        </is>
      </c>
      <c r="E3" s="1" t="inlineStr">
        <is>
          <t>종료자산(원)</t>
        </is>
      </c>
      <c r="F3" s="1" t="inlineStr">
        <is>
          <t>월수익(원)</t>
        </is>
      </c>
      <c r="G3" s="1" t="inlineStr">
        <is>
          <t>월수익률(%)</t>
        </is>
      </c>
      <c r="H3" s="1" t="inlineStr">
        <is>
          <t>YTD수익률(%)</t>
        </is>
      </c>
      <c r="J3" s="30" t="inlineStr">
        <is>
          <t>📊 월별 수익률 추이</t>
        </is>
      </c>
    </row>
    <row r="4">
      <c r="A4" s="41" t="inlineStr">
        <is>
          <t>2026-01</t>
        </is>
      </c>
      <c r="B4" s="22" t="n">
        <v>100000000</v>
      </c>
      <c r="C4" s="22" t="n">
        <v>5000000</v>
      </c>
      <c r="D4" s="22" t="n">
        <v>0</v>
      </c>
      <c r="E4" s="22" t="n">
        <v>108000000</v>
      </c>
      <c r="F4" s="22">
        <f>IFERROR(E4-B4-C4+D4,"")</f>
        <v/>
      </c>
      <c r="G4" s="42">
        <f>IFERROR(F4/(B4+C4),"")</f>
        <v/>
      </c>
      <c r="H4" s="42">
        <f>IFERROR(G4,"")</f>
        <v/>
      </c>
    </row>
    <row r="5">
      <c r="A5" s="41" t="inlineStr">
        <is>
          <t>2026-02</t>
        </is>
      </c>
      <c r="B5" s="22" t="n">
        <v>108000000</v>
      </c>
      <c r="C5" s="22" t="n">
        <v>0</v>
      </c>
      <c r="D5" s="22" t="n">
        <v>0</v>
      </c>
      <c r="E5" s="22" t="n">
        <v>112000000</v>
      </c>
      <c r="F5" s="22">
        <f>IFERROR(E5-B5-C5+D5,"")</f>
        <v/>
      </c>
      <c r="G5" s="42">
        <f>IFERROR(F5/(B5+C5),"")</f>
        <v/>
      </c>
      <c r="H5" s="42">
        <f>IFERROR((1+H4)*(1+G5)-1,"")</f>
        <v/>
      </c>
    </row>
    <row r="6">
      <c r="A6" s="41" t="inlineStr">
        <is>
          <t>2026-03</t>
        </is>
      </c>
      <c r="B6" s="22" t="n">
        <v>112000000</v>
      </c>
      <c r="C6" s="22" t="n">
        <v>3000000</v>
      </c>
      <c r="D6" s="22" t="n">
        <v>0</v>
      </c>
      <c r="E6" s="22" t="n">
        <v>118000000</v>
      </c>
      <c r="F6" s="22">
        <f>IFERROR(E6-B6-C6+D6,"")</f>
        <v/>
      </c>
      <c r="G6" s="42">
        <f>IFERROR(F6/(B6+C6),"")</f>
        <v/>
      </c>
      <c r="H6" s="42">
        <f>IFERROR((1+H5)*(1+G6)-1,"")</f>
        <v/>
      </c>
    </row>
    <row r="7">
      <c r="A7" s="41" t="inlineStr">
        <is>
          <t>2026-04</t>
        </is>
      </c>
      <c r="B7" s="22" t="n">
        <v>118000000</v>
      </c>
      <c r="C7" s="22" t="n">
        <v>0</v>
      </c>
      <c r="D7" s="22" t="n">
        <v>2000000</v>
      </c>
      <c r="E7" s="22" t="n">
        <v>125000000</v>
      </c>
      <c r="F7" s="22">
        <f>IFERROR(E7-B7-C7+D7,"")</f>
        <v/>
      </c>
      <c r="G7" s="42">
        <f>IFERROR(F7/(B7+C7),"")</f>
        <v/>
      </c>
      <c r="H7" s="42">
        <f>IFERROR((1+H6)*(1+G7)-1,"")</f>
        <v/>
      </c>
    </row>
    <row r="8">
      <c r="A8" s="41" t="inlineStr">
        <is>
          <t>2026-05</t>
        </is>
      </c>
      <c r="B8" s="22" t="n"/>
      <c r="C8" s="22" t="n"/>
      <c r="D8" s="22" t="n"/>
      <c r="E8" s="22" t="n"/>
      <c r="F8" s="22">
        <f>IFERROR(E8-B8-C8+D8,"")</f>
        <v/>
      </c>
      <c r="G8" s="42">
        <f>IFERROR(F8/(B8+C8),"")</f>
        <v/>
      </c>
      <c r="H8" s="42">
        <f>IFERROR((1+H7)*(1+G8)-1,"")</f>
        <v/>
      </c>
    </row>
    <row r="9">
      <c r="A9" s="41" t="inlineStr">
        <is>
          <t>2026-06</t>
        </is>
      </c>
      <c r="B9" s="22" t="n"/>
      <c r="C9" s="22" t="n"/>
      <c r="D9" s="22" t="n"/>
      <c r="E9" s="22" t="n"/>
      <c r="F9" s="22">
        <f>IFERROR(E9-B9-C9+D9,"")</f>
        <v/>
      </c>
      <c r="G9" s="42">
        <f>IFERROR(F9/(B9+C9),"")</f>
        <v/>
      </c>
      <c r="H9" s="42">
        <f>IFERROR((1+H8)*(1+G9)-1,"")</f>
        <v/>
      </c>
    </row>
    <row r="10">
      <c r="A10" s="41" t="inlineStr">
        <is>
          <t>2026-07</t>
        </is>
      </c>
      <c r="B10" s="22" t="n"/>
      <c r="C10" s="22" t="n"/>
      <c r="D10" s="22" t="n"/>
      <c r="E10" s="22" t="n"/>
      <c r="F10" s="22">
        <f>IFERROR(E10-B10-C10+D10,"")</f>
        <v/>
      </c>
      <c r="G10" s="42">
        <f>IFERROR(F10/(B10+C10),"")</f>
        <v/>
      </c>
      <c r="H10" s="42">
        <f>IFERROR((1+H9)*(1+G10)-1,"")</f>
        <v/>
      </c>
    </row>
    <row r="11">
      <c r="A11" s="41" t="inlineStr">
        <is>
          <t>2026-08</t>
        </is>
      </c>
      <c r="B11" s="22" t="n"/>
      <c r="C11" s="22" t="n"/>
      <c r="D11" s="22" t="n"/>
      <c r="E11" s="22" t="n"/>
      <c r="F11" s="22">
        <f>IFERROR(E11-B11-C11+D11,"")</f>
        <v/>
      </c>
      <c r="G11" s="42">
        <f>IFERROR(F11/(B11+C11),"")</f>
        <v/>
      </c>
      <c r="H11" s="42">
        <f>IFERROR((1+H10)*(1+G11)-1,"")</f>
        <v/>
      </c>
    </row>
    <row r="12">
      <c r="A12" s="41" t="inlineStr">
        <is>
          <t>2026-09</t>
        </is>
      </c>
      <c r="B12" s="22" t="n"/>
      <c r="C12" s="22" t="n"/>
      <c r="D12" s="22" t="n"/>
      <c r="E12" s="22" t="n"/>
      <c r="F12" s="22">
        <f>IFERROR(E12-B12-C12+D12,"")</f>
        <v/>
      </c>
      <c r="G12" s="42">
        <f>IFERROR(F12/(B12+C12),"")</f>
        <v/>
      </c>
      <c r="H12" s="42">
        <f>IFERROR((1+H11)*(1+G12)-1,"")</f>
        <v/>
      </c>
    </row>
    <row r="13">
      <c r="A13" s="41" t="inlineStr">
        <is>
          <t>2026-10</t>
        </is>
      </c>
      <c r="B13" s="22" t="n"/>
      <c r="C13" s="22" t="n"/>
      <c r="D13" s="22" t="n"/>
      <c r="E13" s="22" t="n"/>
      <c r="F13" s="22">
        <f>IFERROR(E13-B13-C13+D13,"")</f>
        <v/>
      </c>
      <c r="G13" s="42">
        <f>IFERROR(F13/(B13+C13),"")</f>
        <v/>
      </c>
      <c r="H13" s="42">
        <f>IFERROR((1+H12)*(1+G13)-1,"")</f>
        <v/>
      </c>
    </row>
    <row r="14">
      <c r="A14" s="41" t="inlineStr">
        <is>
          <t>2026-11</t>
        </is>
      </c>
      <c r="B14" s="22" t="n"/>
      <c r="C14" s="22" t="n"/>
      <c r="D14" s="22" t="n"/>
      <c r="E14" s="22" t="n"/>
      <c r="F14" s="22">
        <f>IFERROR(E14-B14-C14+D14,"")</f>
        <v/>
      </c>
      <c r="G14" s="42">
        <f>IFERROR(F14/(B14+C14),"")</f>
        <v/>
      </c>
      <c r="H14" s="42">
        <f>IFERROR((1+H13)*(1+G14)-1,"")</f>
        <v/>
      </c>
    </row>
    <row r="15">
      <c r="A15" s="41" t="inlineStr">
        <is>
          <t>2026-12</t>
        </is>
      </c>
      <c r="B15" s="22" t="n"/>
      <c r="C15" s="22" t="n"/>
      <c r="D15" s="22" t="n"/>
      <c r="E15" s="22" t="n"/>
      <c r="F15" s="22">
        <f>IFERROR(E15-B15-C15+D15,"")</f>
        <v/>
      </c>
      <c r="G15" s="42">
        <f>IFERROR(F15/(B15+C15),"")</f>
        <v/>
      </c>
      <c r="H15" s="42">
        <f>IFERROR((1+H14)*(1+G15)-1,"")</f>
        <v/>
      </c>
    </row>
  </sheetData>
  <mergeCells count="1">
    <mergeCell ref="A1:H1"/>
  </mergeCells>
  <conditionalFormatting sqref="G4:H15">
    <cfRule type="cellIs" priority="1" operator="greaterThan" dxfId="4">
      <formula>0</formula>
    </cfRule>
    <cfRule type="cellIs" priority="2" operator="less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607D8B"/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4" customWidth="1" min="5" max="5"/>
    <col width="28" customWidth="1" min="6" max="6"/>
  </cols>
  <sheetData>
    <row r="1" ht="35" customHeight="1">
      <c r="A1" s="7" t="inlineStr">
        <is>
          <t>⚙️ 설정 - 환율 / 종목마스터 / 세율</t>
        </is>
      </c>
    </row>
    <row r="3">
      <c r="A3" s="30" t="inlineStr">
        <is>
          <t>💱 환율 (구글시트 업로드 시 자동 갱신)</t>
        </is>
      </c>
    </row>
    <row r="4">
      <c r="B4" s="43" t="inlineStr">
        <is>
          <t>통화</t>
        </is>
      </c>
      <c r="C4" s="43" t="inlineStr">
        <is>
          <t>환율(원)</t>
        </is>
      </c>
      <c r="D4" s="43" t="inlineStr">
        <is>
          <t>비고</t>
        </is>
      </c>
    </row>
    <row r="5">
      <c r="B5" s="3" t="inlineStr">
        <is>
          <t>KRW</t>
        </is>
      </c>
      <c r="C5" s="5" t="n">
        <v>1</v>
      </c>
      <c r="D5" s="4" t="inlineStr">
        <is>
          <t>기준 통화</t>
        </is>
      </c>
    </row>
    <row r="6">
      <c r="B6" s="3" t="inlineStr">
        <is>
          <t>USD</t>
        </is>
      </c>
      <c r="C6" s="5" t="n">
        <v>1400</v>
      </c>
      <c r="D6" s="4" t="inlineStr">
        <is>
          <t>미국 달러</t>
        </is>
      </c>
    </row>
    <row r="7">
      <c r="B7" s="3" t="inlineStr">
        <is>
          <t>JPY</t>
        </is>
      </c>
      <c r="C7" s="5">
        <f>GOOGLEFINANCE("CURRENCY:JPYKRW")</f>
        <v/>
      </c>
      <c r="D7" s="4" t="inlineStr">
        <is>
          <t>일본 엔</t>
        </is>
      </c>
    </row>
    <row r="8">
      <c r="B8" s="3" t="inlineStr">
        <is>
          <t>EUR</t>
        </is>
      </c>
      <c r="C8" s="5">
        <f>GOOGLEFINANCE("CURRENCY:EURKRW")</f>
        <v/>
      </c>
      <c r="D8" s="4" t="inlineStr">
        <is>
          <t>유로</t>
        </is>
      </c>
    </row>
    <row r="9">
      <c r="B9" s="3" t="inlineStr">
        <is>
          <t>CNY</t>
        </is>
      </c>
      <c r="C9" s="5">
        <f>GOOGLEFINANCE("CURRENCY:CNYKRW")</f>
        <v/>
      </c>
      <c r="D9" s="4" t="inlineStr">
        <is>
          <t>위안</t>
        </is>
      </c>
    </row>
    <row r="10">
      <c r="B10" s="3" t="inlineStr">
        <is>
          <t>HKD</t>
        </is>
      </c>
      <c r="C10" s="5">
        <f>GOOGLEFINANCE("CURRENCY:HKDKRW")</f>
        <v/>
      </c>
      <c r="D10" s="4" t="inlineStr">
        <is>
          <t>홍콩 달러</t>
        </is>
      </c>
    </row>
    <row r="13">
      <c r="A13" s="30" t="inlineStr">
        <is>
          <t>💸 세율 설정</t>
        </is>
      </c>
    </row>
    <row r="14">
      <c r="B14" s="43" t="inlineStr">
        <is>
          <t>구분</t>
        </is>
      </c>
      <c r="C14" s="43" t="inlineStr">
        <is>
          <t>세율</t>
        </is>
      </c>
      <c r="D14" s="43" t="inlineStr">
        <is>
          <t>비고</t>
        </is>
      </c>
    </row>
    <row r="15">
      <c r="B15" s="41" t="inlineStr">
        <is>
          <t>국내주식 양도세</t>
        </is>
      </c>
      <c r="C15" s="3" t="inlineStr">
        <is>
          <t>0%</t>
        </is>
      </c>
      <c r="D15" s="4" t="inlineStr">
        <is>
          <t>대주주 제외, 일반투자자 비과세</t>
        </is>
      </c>
    </row>
    <row r="16">
      <c r="B16" s="41" t="inlineStr">
        <is>
          <t>해외주식 양도세</t>
        </is>
      </c>
      <c r="C16" s="3" t="inlineStr">
        <is>
          <t>22%</t>
        </is>
      </c>
      <c r="D16" s="4" t="inlineStr">
        <is>
          <t>연 250만원 공제 후 22% (지방세 포함)</t>
        </is>
      </c>
    </row>
    <row r="17">
      <c r="B17" s="41" t="inlineStr">
        <is>
          <t>국내 배당세</t>
        </is>
      </c>
      <c r="C17" s="3" t="inlineStr">
        <is>
          <t>15.4%</t>
        </is>
      </c>
      <c r="D17" s="4" t="inlineStr">
        <is>
          <t>원천징수 (소득세 14% + 지방세 1.4%)</t>
        </is>
      </c>
    </row>
    <row r="18">
      <c r="B18" s="41" t="inlineStr">
        <is>
          <t>해외 배당세</t>
        </is>
      </c>
      <c r="C18" s="3" t="inlineStr">
        <is>
          <t>15%</t>
        </is>
      </c>
      <c r="D18" s="4" t="inlineStr">
        <is>
          <t>미국 기준 (현지 원천징수)</t>
        </is>
      </c>
    </row>
    <row r="19">
      <c r="B19" s="41" t="inlineStr">
        <is>
          <t>코인 양도세</t>
        </is>
      </c>
      <c r="C19" s="3" t="inlineStr">
        <is>
          <t>22%</t>
        </is>
      </c>
      <c r="D19" s="4" t="inlineStr">
        <is>
          <t>2027년부터 시행 예정 (250만원 공제 후)</t>
        </is>
      </c>
    </row>
    <row r="22">
      <c r="A22" s="30" t="inlineStr">
        <is>
          <t>📋 종목 마스터 (선택사항 - 종목 정보 관리용)</t>
        </is>
      </c>
    </row>
    <row r="23">
      <c r="B23" s="43" t="inlineStr">
        <is>
          <t>티커</t>
        </is>
      </c>
      <c r="C23" s="43" t="inlineStr">
        <is>
          <t>종목명</t>
        </is>
      </c>
      <c r="D23" s="43" t="inlineStr">
        <is>
          <t>시장</t>
        </is>
      </c>
      <c r="E23" s="43" t="inlineStr">
        <is>
          <t>섹터</t>
        </is>
      </c>
      <c r="F23" s="43" t="inlineStr">
        <is>
          <t>메모</t>
        </is>
      </c>
    </row>
    <row r="24">
      <c r="B24" s="3" t="inlineStr">
        <is>
          <t>005930</t>
        </is>
      </c>
      <c r="C24" s="3" t="inlineStr">
        <is>
          <t>삼성전자</t>
        </is>
      </c>
      <c r="D24" s="3" t="inlineStr">
        <is>
          <t>한국</t>
        </is>
      </c>
      <c r="E24" s="3" t="inlineStr">
        <is>
          <t>반도체</t>
        </is>
      </c>
      <c r="F24" s="4" t="inlineStr">
        <is>
          <t>메모리 1위</t>
        </is>
      </c>
    </row>
    <row r="25">
      <c r="B25" s="3" t="inlineStr">
        <is>
          <t>NVDA</t>
        </is>
      </c>
      <c r="C25" s="3" t="inlineStr">
        <is>
          <t>NVIDIA</t>
        </is>
      </c>
      <c r="D25" s="3" t="inlineStr">
        <is>
          <t>미국</t>
        </is>
      </c>
      <c r="E25" s="3" t="inlineStr">
        <is>
          <t>반도체</t>
        </is>
      </c>
      <c r="F25" s="4" t="inlineStr">
        <is>
          <t>AI GPU 독점</t>
        </is>
      </c>
    </row>
    <row r="26">
      <c r="B26" s="3" t="inlineStr">
        <is>
          <t>AAPL</t>
        </is>
      </c>
      <c r="C26" s="3" t="inlineStr">
        <is>
          <t>Apple</t>
        </is>
      </c>
      <c r="D26" s="3" t="inlineStr">
        <is>
          <t>미국</t>
        </is>
      </c>
      <c r="E26" s="3" t="inlineStr">
        <is>
          <t>테크</t>
        </is>
      </c>
      <c r="F26" s="4" t="inlineStr">
        <is>
          <t>스마트폰/서비스</t>
        </is>
      </c>
    </row>
    <row r="27">
      <c r="B27" s="3" t="inlineStr">
        <is>
          <t>QQQ</t>
        </is>
      </c>
      <c r="C27" s="3" t="inlineStr">
        <is>
          <t>Invesco QQQ</t>
        </is>
      </c>
      <c r="D27" s="3" t="inlineStr">
        <is>
          <t>미국</t>
        </is>
      </c>
      <c r="E27" s="3" t="inlineStr">
        <is>
          <t>ETF</t>
        </is>
      </c>
      <c r="F27" s="4" t="inlineStr">
        <is>
          <t>나스닥100 추종</t>
        </is>
      </c>
    </row>
    <row r="28">
      <c r="B28" s="3" t="inlineStr">
        <is>
          <t>BTC</t>
        </is>
      </c>
      <c r="C28" s="3" t="inlineStr">
        <is>
          <t>비트코인</t>
        </is>
      </c>
      <c r="D28" s="3" t="inlineStr">
        <is>
          <t>암호화폐</t>
        </is>
      </c>
      <c r="E28" s="3" t="inlineStr">
        <is>
          <t>코인</t>
        </is>
      </c>
      <c r="F28" s="4" t="inlineStr">
        <is>
          <t>디지털 금</t>
        </is>
      </c>
    </row>
  </sheetData>
  <mergeCells count="4">
    <mergeCell ref="A3:F3"/>
    <mergeCell ref="A13:F13"/>
    <mergeCell ref="A1:F1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2026-06-23T05:29:00Z</dcterms:created>
  <dcterms:modified xsi:type="dcterms:W3CDTF">2026-06-23T05:29:00Z</dcterms:modified>
</cp:coreProperties>
</file>